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7B3545161EA8BD/Documents/"/>
    </mc:Choice>
  </mc:AlternateContent>
  <xr:revisionPtr revIDLastSave="164" documentId="8_{2C5CAEC3-BFE6-40A1-9FDA-D7CEAC523176}" xr6:coauthVersionLast="47" xr6:coauthVersionMax="47" xr10:uidLastSave="{63EAE0B1-B36A-4A48-A962-4FA206A32926}"/>
  <bookViews>
    <workbookView xWindow="-110" yWindow="-110" windowWidth="19420" windowHeight="10300" activeTab="3" xr2:uid="{AEA7F004-FDCF-4F94-90A7-74C117035DEC}"/>
  </bookViews>
  <sheets>
    <sheet name="Sheet2" sheetId="3" r:id="rId1"/>
    <sheet name="Sheet3" sheetId="4" r:id="rId2"/>
    <sheet name="Sheet4" sheetId="5" r:id="rId3"/>
    <sheet name="sales_data_raw" sheetId="1" r:id="rId4"/>
    <sheet name="EDA" sheetId="2" r:id="rId5"/>
  </sheets>
  <externalReferences>
    <externalReference r:id="rId6"/>
  </externalReferences>
  <definedNames>
    <definedName name="_xlnm._FilterDatabase" localSheetId="3" hidden="1">sales_data_raw!$A$1:$G$16</definedName>
  </definedName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8" i="2"/>
  <c r="B3" i="2"/>
</calcChain>
</file>

<file path=xl/sharedStrings.xml><?xml version="1.0" encoding="utf-8"?>
<sst xmlns="http://schemas.openxmlformats.org/spreadsheetml/2006/main" count="99" uniqueCount="48">
  <si>
    <t>Order_ID</t>
  </si>
  <si>
    <t>Customer_Name</t>
  </si>
  <si>
    <t>City</t>
  </si>
  <si>
    <t>Product</t>
  </si>
  <si>
    <t>Order_Date</t>
  </si>
  <si>
    <t>Sales</t>
  </si>
  <si>
    <t>Status</t>
  </si>
  <si>
    <t>Aman</t>
  </si>
  <si>
    <t>Delhi</t>
  </si>
  <si>
    <t>Laptop</t>
  </si>
  <si>
    <t>Completed</t>
  </si>
  <si>
    <t>Riya</t>
  </si>
  <si>
    <t>Phone</t>
  </si>
  <si>
    <t>Rahul</t>
  </si>
  <si>
    <t>Mumbai</t>
  </si>
  <si>
    <t>Tablet</t>
  </si>
  <si>
    <t>Pending</t>
  </si>
  <si>
    <t>Neha</t>
  </si>
  <si>
    <t>Vikas</t>
  </si>
  <si>
    <t>Bangalore</t>
  </si>
  <si>
    <t>Priya</t>
  </si>
  <si>
    <t>Karan</t>
  </si>
  <si>
    <t>Sneha</t>
  </si>
  <si>
    <t>Cancelled</t>
  </si>
  <si>
    <t>Arjun</t>
  </si>
  <si>
    <t>Meera</t>
  </si>
  <si>
    <t>Rohit</t>
  </si>
  <si>
    <t>Pooja</t>
  </si>
  <si>
    <t>Dev</t>
  </si>
  <si>
    <t>Anjali</t>
  </si>
  <si>
    <t>Unknown</t>
  </si>
  <si>
    <t xml:space="preserve">EXPLORATORY DATA ANALYSIS </t>
  </si>
  <si>
    <t>Total Orders</t>
  </si>
  <si>
    <t>Total Sales</t>
  </si>
  <si>
    <t>Average Sales</t>
  </si>
  <si>
    <t>Maximum Sales</t>
  </si>
  <si>
    <t xml:space="preserve">Minimum Sales </t>
  </si>
  <si>
    <t>Missing Sales</t>
  </si>
  <si>
    <t>Row Labels</t>
  </si>
  <si>
    <t>Grand Total</t>
  </si>
  <si>
    <t>Sum of Sales</t>
  </si>
  <si>
    <t>Key Insights</t>
  </si>
  <si>
    <t>1. Laptop generated the highest sales of ₹5,88,000, making it the top- performing product.</t>
  </si>
  <si>
    <t>2. Delhi recorded the highest city-wise sales of ₹4,62,000.</t>
  </si>
  <si>
    <t>4. Tablet generated the lowest product-wise sales of ₹85,000</t>
  </si>
  <si>
    <t>5. The highest individual sale was ₹ 1,25,000 for a laptop order</t>
  </si>
  <si>
    <t xml:space="preserve"> </t>
  </si>
  <si>
    <t>3. completed orders contributed the majority of total sales, with sales of  ₹8,18,000.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</si>
</sst>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 (4).xlsx]Sheet2!PivotTable1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</a:t>
            </a:r>
            <a:r>
              <a:rPr lang="en-US" baseline="0"/>
              <a:t> Sales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588000</c:v>
                </c:pt>
                <c:pt idx="1">
                  <c:v>245000</c:v>
                </c:pt>
                <c:pt idx="2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3-4E83-BA96-EEE1FBFFF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731008"/>
        <c:axId val="1410976880"/>
      </c:barChart>
      <c:catAx>
        <c:axId val="100973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76880"/>
        <c:crosses val="autoZero"/>
        <c:auto val="1"/>
        <c:lblAlgn val="ctr"/>
        <c:lblOffset val="100"/>
        <c:noMultiLvlLbl val="0"/>
      </c:catAx>
      <c:valAx>
        <c:axId val="14109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73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 (4).xlsx]Sheet3!PivotTable2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City-wise</a:t>
            </a:r>
            <a:r>
              <a:rPr lang="en-IN" baseline="0"/>
              <a:t> Sales Analysis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133000</c:v>
                </c:pt>
                <c:pt idx="1">
                  <c:v>462000</c:v>
                </c:pt>
                <c:pt idx="2">
                  <c:v>323000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3-4FE5-8345-3C3973816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114528"/>
        <c:axId val="1410885680"/>
      </c:barChart>
      <c:catAx>
        <c:axId val="106911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885680"/>
        <c:crosses val="autoZero"/>
        <c:auto val="1"/>
        <c:lblAlgn val="ctr"/>
        <c:lblOffset val="100"/>
        <c:noMultiLvlLbl val="0"/>
      </c:catAx>
      <c:valAx>
        <c:axId val="14108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1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 (4).xlsx]Sheet4!PivotTable3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Status-wise</a:t>
            </a:r>
            <a:r>
              <a:rPr lang="en-IN" baseline="0"/>
              <a:t> Sales Analysis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42000</c:v>
                </c:pt>
                <c:pt idx="1">
                  <c:v>818000</c:v>
                </c:pt>
                <c:pt idx="2">
                  <c:v>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6-4920-AAF3-B5162ACC2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338352"/>
        <c:axId val="1410920240"/>
      </c:barChart>
      <c:catAx>
        <c:axId val="141533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20240"/>
        <c:crosses val="autoZero"/>
        <c:auto val="1"/>
        <c:lblAlgn val="ctr"/>
        <c:lblOffset val="100"/>
        <c:noMultiLvlLbl val="0"/>
      </c:catAx>
      <c:valAx>
        <c:axId val="141092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33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85725</xdr:rowOff>
    </xdr:from>
    <xdr:to>
      <xdr:col>9</xdr:col>
      <xdr:colOff>571500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19542-03E4-C4AD-332F-A9D547AB9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85725</xdr:rowOff>
    </xdr:from>
    <xdr:to>
      <xdr:col>9</xdr:col>
      <xdr:colOff>571500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726C65-463B-71DF-DF9C-9001E9ECA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85725</xdr:rowOff>
    </xdr:from>
    <xdr:to>
      <xdr:col>9</xdr:col>
      <xdr:colOff>571500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A22B9C-A40A-1C3D-1454-ACF82584D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s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_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tanshu Rajput" refreshedDate="46279.928772916668" createdVersion="8" refreshedVersion="8" minRefreshableVersion="3" recordCount="15" xr:uid="{EBE28F44-DDC9-4600-BB58-F57D285B7ECF}">
  <cacheSource type="worksheet">
    <worksheetSource ref="A1:G16" sheet="sales_data_raw"/>
  </cacheSource>
  <cacheFields count="7">
    <cacheField name="Order_ID" numFmtId="0">
      <sharedItems containsSemiMixedTypes="0" containsString="0" containsNumber="1" containsInteger="1" minValue="1001" maxValue="1015"/>
    </cacheField>
    <cacheField name="Customer_Name" numFmtId="0">
      <sharedItems/>
    </cacheField>
    <cacheField name="City" numFmtId="0">
      <sharedItems count="3">
        <s v="Delhi"/>
        <s v="Mumbai"/>
        <s v="Bangalore"/>
      </sharedItems>
    </cacheField>
    <cacheField name="Product" numFmtId="0">
      <sharedItems count="3">
        <s v="Laptop"/>
        <s v="Phone"/>
        <s v="Tablet"/>
      </sharedItems>
    </cacheField>
    <cacheField name="Order_Date" numFmtId="14">
      <sharedItems containsSemiMixedTypes="0" containsNonDate="0" containsDate="1" containsString="0" minDate="2026-01-05T00:00:00" maxDate="2026-01-28T00:00:00"/>
    </cacheField>
    <cacheField name="Sales" numFmtId="0">
      <sharedItems containsString="0" containsBlank="1" containsNumber="1" containsInteger="1" minValue="27000" maxValue="125000"/>
    </cacheField>
    <cacheField name="Status" numFmtId="0">
      <sharedItems count="3">
        <s v="Completed"/>
        <s v="Pending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s v="Aman"/>
    <x v="0"/>
    <x v="0"/>
    <d v="2026-01-05T00:00:00"/>
    <n v="120000"/>
    <x v="0"/>
  </r>
  <r>
    <n v="1002"/>
    <s v="Riya"/>
    <x v="0"/>
    <x v="1"/>
    <d v="2026-01-07T00:00:00"/>
    <n v="45000"/>
    <x v="0"/>
  </r>
  <r>
    <n v="1003"/>
    <s v="Rahul"/>
    <x v="1"/>
    <x v="2"/>
    <d v="2026-01-09T00:00:00"/>
    <m/>
    <x v="1"/>
  </r>
  <r>
    <n v="1004"/>
    <s v="Neha"/>
    <x v="1"/>
    <x v="0"/>
    <d v="2026-01-10T00:00:00"/>
    <n v="115000"/>
    <x v="0"/>
  </r>
  <r>
    <n v="1005"/>
    <s v="Vikas"/>
    <x v="2"/>
    <x v="1"/>
    <d v="2026-01-10T00:00:00"/>
    <n v="38000"/>
    <x v="0"/>
  </r>
  <r>
    <n v="1006"/>
    <s v="Priya"/>
    <x v="2"/>
    <x v="2"/>
    <d v="2026-01-12T00:00:00"/>
    <n v="28000"/>
    <x v="1"/>
  </r>
  <r>
    <n v="1007"/>
    <s v="Karan"/>
    <x v="0"/>
    <x v="0"/>
    <d v="2026-01-14T00:00:00"/>
    <n v="110000"/>
    <x v="0"/>
  </r>
  <r>
    <n v="1008"/>
    <s v="Sneha"/>
    <x v="1"/>
    <x v="1"/>
    <d v="2026-01-15T00:00:00"/>
    <n v="42000"/>
    <x v="2"/>
  </r>
  <r>
    <n v="1009"/>
    <s v="Arjun"/>
    <x v="0"/>
    <x v="2"/>
    <d v="2026-01-16T00:00:00"/>
    <n v="30000"/>
    <x v="1"/>
  </r>
  <r>
    <n v="1010"/>
    <s v="Meera"/>
    <x v="2"/>
    <x v="1"/>
    <d v="2026-01-18T00:00:00"/>
    <n v="40000"/>
    <x v="0"/>
  </r>
  <r>
    <n v="1011"/>
    <s v="Rohit"/>
    <x v="0"/>
    <x v="0"/>
    <d v="2026-01-20T00:00:00"/>
    <n v="118000"/>
    <x v="0"/>
  </r>
  <r>
    <n v="1012"/>
    <s v="Unknown"/>
    <x v="1"/>
    <x v="1"/>
    <d v="2026-01-22T00:00:00"/>
    <n v="41000"/>
    <x v="0"/>
  </r>
  <r>
    <n v="1013"/>
    <s v="Pooja"/>
    <x v="2"/>
    <x v="2"/>
    <d v="2026-01-23T00:00:00"/>
    <n v="27000"/>
    <x v="0"/>
  </r>
  <r>
    <n v="1014"/>
    <s v="Dev"/>
    <x v="0"/>
    <x v="1"/>
    <d v="2026-01-25T00:00:00"/>
    <n v="39000"/>
    <x v="0"/>
  </r>
  <r>
    <n v="1015"/>
    <s v="Anjali"/>
    <x v="1"/>
    <x v="0"/>
    <d v="2026-01-27T00:00:00"/>
    <n v="125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B700D-F946-4713-9012-A9C25CBDFB5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FB8A3-4FD3-45B5-85EE-8173F2D3A30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7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4"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8C274-0B6C-43C0-93EC-A912238039FF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7">
    <pivotField showAll="0"/>
    <pivotField showAll="0"/>
    <pivotField showAll="0"/>
    <pivotField showAll="0"/>
    <pivotField numFmtId="14"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7E34-7152-428F-9B07-DFECC37469F4}">
  <dimension ref="A3:B7"/>
  <sheetViews>
    <sheetView workbookViewId="0">
      <selection activeCell="K3" sqref="K3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4" t="s">
        <v>38</v>
      </c>
      <c r="B3" t="s">
        <v>40</v>
      </c>
    </row>
    <row r="4" spans="1:2" x14ac:dyDescent="0.35">
      <c r="A4" s="5" t="s">
        <v>9</v>
      </c>
      <c r="B4" s="6">
        <v>588000</v>
      </c>
    </row>
    <row r="5" spans="1:2" x14ac:dyDescent="0.35">
      <c r="A5" s="5" t="s">
        <v>12</v>
      </c>
      <c r="B5" s="6">
        <v>245000</v>
      </c>
    </row>
    <row r="6" spans="1:2" x14ac:dyDescent="0.35">
      <c r="A6" s="5" t="s">
        <v>15</v>
      </c>
      <c r="B6" s="6">
        <v>85000</v>
      </c>
    </row>
    <row r="7" spans="1:2" x14ac:dyDescent="0.35">
      <c r="A7" s="5" t="s">
        <v>39</v>
      </c>
      <c r="B7" s="6">
        <v>918000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97AD-94C7-4701-8F5D-B6878BA5F853}">
  <dimension ref="A3:B7"/>
  <sheetViews>
    <sheetView workbookViewId="0">
      <selection activeCell="K8" sqref="K8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4" t="s">
        <v>38</v>
      </c>
      <c r="B3" t="s">
        <v>40</v>
      </c>
    </row>
    <row r="4" spans="1:2" x14ac:dyDescent="0.35">
      <c r="A4" s="5" t="s">
        <v>19</v>
      </c>
      <c r="B4" s="6">
        <v>133000</v>
      </c>
    </row>
    <row r="5" spans="1:2" x14ac:dyDescent="0.35">
      <c r="A5" s="5" t="s">
        <v>8</v>
      </c>
      <c r="B5" s="6">
        <v>462000</v>
      </c>
    </row>
    <row r="6" spans="1:2" x14ac:dyDescent="0.35">
      <c r="A6" s="5" t="s">
        <v>14</v>
      </c>
      <c r="B6" s="6">
        <v>323000</v>
      </c>
    </row>
    <row r="7" spans="1:2" x14ac:dyDescent="0.35">
      <c r="A7" s="5" t="s">
        <v>39</v>
      </c>
      <c r="B7" s="6">
        <v>918000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7A0B-DF1A-444B-953E-F4B8CD9D6B8B}">
  <dimension ref="A3:B7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4" t="s">
        <v>38</v>
      </c>
      <c r="B3" t="s">
        <v>40</v>
      </c>
    </row>
    <row r="4" spans="1:2" x14ac:dyDescent="0.35">
      <c r="A4" s="5" t="s">
        <v>23</v>
      </c>
      <c r="B4" s="6">
        <v>42000</v>
      </c>
    </row>
    <row r="5" spans="1:2" x14ac:dyDescent="0.35">
      <c r="A5" s="5" t="s">
        <v>10</v>
      </c>
      <c r="B5" s="6">
        <v>818000</v>
      </c>
    </row>
    <row r="6" spans="1:2" x14ac:dyDescent="0.35">
      <c r="A6" s="5" t="s">
        <v>16</v>
      </c>
      <c r="B6" s="6">
        <v>58000</v>
      </c>
    </row>
    <row r="7" spans="1:2" x14ac:dyDescent="0.35">
      <c r="A7" s="5" t="s">
        <v>39</v>
      </c>
      <c r="B7" s="6">
        <v>918000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EF46-2618-44AE-AF7A-ABCC9F334A52}">
  <dimension ref="A1:G16"/>
  <sheetViews>
    <sheetView tabSelected="1" workbookViewId="0">
      <selection activeCell="D11" sqref="D11"/>
    </sheetView>
  </sheetViews>
  <sheetFormatPr defaultRowHeight="14.5" x14ac:dyDescent="0.35"/>
  <cols>
    <col min="1" max="1" width="10.81640625" bestFit="1" customWidth="1"/>
    <col min="2" max="2" width="17.1796875" bestFit="1" customWidth="1"/>
    <col min="3" max="3" width="10.90625" customWidth="1"/>
    <col min="4" max="4" width="15.08984375" customWidth="1"/>
    <col min="5" max="5" width="12.90625" bestFit="1" customWidth="1"/>
    <col min="6" max="6" width="11" customWidth="1"/>
    <col min="7" max="7" width="12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1001</v>
      </c>
      <c r="B2" t="s">
        <v>7</v>
      </c>
      <c r="C2" t="s">
        <v>8</v>
      </c>
      <c r="D2" t="s">
        <v>9</v>
      </c>
      <c r="E2" s="1">
        <v>46027</v>
      </c>
      <c r="F2">
        <v>120000</v>
      </c>
      <c r="G2" t="s">
        <v>10</v>
      </c>
    </row>
    <row r="3" spans="1:7" x14ac:dyDescent="0.35">
      <c r="A3">
        <v>1002</v>
      </c>
      <c r="B3" t="s">
        <v>11</v>
      </c>
      <c r="C3" t="s">
        <v>8</v>
      </c>
      <c r="D3" t="s">
        <v>12</v>
      </c>
      <c r="E3" s="1">
        <v>46029</v>
      </c>
      <c r="F3">
        <v>45000</v>
      </c>
      <c r="G3" t="s">
        <v>10</v>
      </c>
    </row>
    <row r="4" spans="1:7" x14ac:dyDescent="0.35">
      <c r="A4">
        <v>1003</v>
      </c>
      <c r="B4" t="s">
        <v>13</v>
      </c>
      <c r="C4" t="s">
        <v>14</v>
      </c>
      <c r="D4" t="s">
        <v>15</v>
      </c>
      <c r="E4" s="1">
        <v>46031</v>
      </c>
      <c r="G4" t="s">
        <v>16</v>
      </c>
    </row>
    <row r="5" spans="1:7" x14ac:dyDescent="0.35">
      <c r="A5">
        <v>1004</v>
      </c>
      <c r="B5" t="s">
        <v>17</v>
      </c>
      <c r="C5" t="s">
        <v>14</v>
      </c>
      <c r="D5" t="s">
        <v>9</v>
      </c>
      <c r="E5" s="1">
        <v>46032</v>
      </c>
      <c r="F5">
        <v>115000</v>
      </c>
      <c r="G5" t="s">
        <v>10</v>
      </c>
    </row>
    <row r="6" spans="1:7" x14ac:dyDescent="0.35">
      <c r="A6">
        <v>1005</v>
      </c>
      <c r="B6" t="s">
        <v>18</v>
      </c>
      <c r="C6" t="s">
        <v>19</v>
      </c>
      <c r="D6" t="s">
        <v>12</v>
      </c>
      <c r="E6" s="1">
        <v>46032</v>
      </c>
      <c r="F6">
        <v>38000</v>
      </c>
      <c r="G6" t="s">
        <v>10</v>
      </c>
    </row>
    <row r="7" spans="1:7" x14ac:dyDescent="0.35">
      <c r="A7">
        <v>1006</v>
      </c>
      <c r="B7" t="s">
        <v>20</v>
      </c>
      <c r="C7" t="s">
        <v>19</v>
      </c>
      <c r="D7" t="s">
        <v>15</v>
      </c>
      <c r="E7" s="1">
        <v>46034</v>
      </c>
      <c r="F7">
        <v>28000</v>
      </c>
      <c r="G7" t="s">
        <v>16</v>
      </c>
    </row>
    <row r="8" spans="1:7" x14ac:dyDescent="0.35">
      <c r="A8">
        <v>1007</v>
      </c>
      <c r="B8" t="s">
        <v>21</v>
      </c>
      <c r="C8" t="s">
        <v>8</v>
      </c>
      <c r="D8" t="s">
        <v>9</v>
      </c>
      <c r="E8" s="1">
        <v>46036</v>
      </c>
      <c r="F8">
        <v>110000</v>
      </c>
      <c r="G8" t="s">
        <v>10</v>
      </c>
    </row>
    <row r="9" spans="1:7" x14ac:dyDescent="0.35">
      <c r="A9">
        <v>1008</v>
      </c>
      <c r="B9" t="s">
        <v>22</v>
      </c>
      <c r="C9" t="s">
        <v>14</v>
      </c>
      <c r="D9" t="s">
        <v>12</v>
      </c>
      <c r="E9" s="1">
        <v>46037</v>
      </c>
      <c r="F9">
        <v>42000</v>
      </c>
      <c r="G9" t="s">
        <v>23</v>
      </c>
    </row>
    <row r="10" spans="1:7" x14ac:dyDescent="0.35">
      <c r="A10">
        <v>1009</v>
      </c>
      <c r="B10" t="s">
        <v>24</v>
      </c>
      <c r="C10" t="s">
        <v>8</v>
      </c>
      <c r="D10" t="s">
        <v>15</v>
      </c>
      <c r="E10" s="1">
        <v>46038</v>
      </c>
      <c r="F10">
        <v>30000</v>
      </c>
      <c r="G10" t="s">
        <v>16</v>
      </c>
    </row>
    <row r="11" spans="1:7" x14ac:dyDescent="0.35">
      <c r="A11">
        <v>1010</v>
      </c>
      <c r="B11" t="s">
        <v>25</v>
      </c>
      <c r="C11" t="s">
        <v>19</v>
      </c>
      <c r="D11" t="s">
        <v>12</v>
      </c>
      <c r="E11" s="1">
        <v>46040</v>
      </c>
      <c r="F11">
        <v>40000</v>
      </c>
      <c r="G11" t="s">
        <v>10</v>
      </c>
    </row>
    <row r="12" spans="1:7" x14ac:dyDescent="0.35">
      <c r="A12">
        <v>1011</v>
      </c>
      <c r="B12" t="s">
        <v>26</v>
      </c>
      <c r="C12" t="s">
        <v>8</v>
      </c>
      <c r="D12" t="s">
        <v>9</v>
      </c>
      <c r="E12" s="1">
        <v>46042</v>
      </c>
      <c r="F12">
        <v>118000</v>
      </c>
      <c r="G12" t="s">
        <v>10</v>
      </c>
    </row>
    <row r="13" spans="1:7" x14ac:dyDescent="0.35">
      <c r="A13">
        <v>1012</v>
      </c>
      <c r="B13" t="s">
        <v>30</v>
      </c>
      <c r="C13" t="s">
        <v>14</v>
      </c>
      <c r="D13" t="s">
        <v>12</v>
      </c>
      <c r="E13" s="1">
        <v>46044</v>
      </c>
      <c r="F13">
        <v>41000</v>
      </c>
      <c r="G13" t="s">
        <v>10</v>
      </c>
    </row>
    <row r="14" spans="1:7" x14ac:dyDescent="0.35">
      <c r="A14">
        <v>1013</v>
      </c>
      <c r="B14" s="2" t="s">
        <v>27</v>
      </c>
      <c r="C14" t="s">
        <v>19</v>
      </c>
      <c r="D14" t="s">
        <v>15</v>
      </c>
      <c r="E14" s="1">
        <v>46045</v>
      </c>
      <c r="F14">
        <v>27000</v>
      </c>
      <c r="G14" t="s">
        <v>10</v>
      </c>
    </row>
    <row r="15" spans="1:7" x14ac:dyDescent="0.35">
      <c r="A15">
        <v>1014</v>
      </c>
      <c r="B15" t="s">
        <v>28</v>
      </c>
      <c r="C15" t="s">
        <v>8</v>
      </c>
      <c r="D15" t="s">
        <v>12</v>
      </c>
      <c r="E15" s="1">
        <v>46047</v>
      </c>
      <c r="F15">
        <v>39000</v>
      </c>
      <c r="G15" t="s">
        <v>10</v>
      </c>
    </row>
    <row r="16" spans="1:7" x14ac:dyDescent="0.35">
      <c r="A16">
        <v>1015</v>
      </c>
      <c r="B16" t="s">
        <v>29</v>
      </c>
      <c r="C16" t="s">
        <v>14</v>
      </c>
      <c r="D16" t="s">
        <v>9</v>
      </c>
      <c r="E16" s="1">
        <v>46049</v>
      </c>
      <c r="F16">
        <v>125000</v>
      </c>
      <c r="G16" t="s">
        <v>10</v>
      </c>
    </row>
  </sheetData>
  <autoFilter ref="A1:G16" xr:uid="{6841EF46-2618-44AE-AF7A-ABCC9F334A5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B9F0-C8A1-445C-9EF4-7B920D441344}">
  <dimension ref="A1:B16"/>
  <sheetViews>
    <sheetView workbookViewId="0">
      <selection activeCell="A15" sqref="A15"/>
    </sheetView>
  </sheetViews>
  <sheetFormatPr defaultRowHeight="14.5" x14ac:dyDescent="0.35"/>
  <cols>
    <col min="1" max="1" width="76.54296875" bestFit="1" customWidth="1"/>
  </cols>
  <sheetData>
    <row r="1" spans="1:2" ht="17" x14ac:dyDescent="0.5">
      <c r="A1" s="3" t="s">
        <v>31</v>
      </c>
    </row>
    <row r="2" spans="1:2" ht="17" x14ac:dyDescent="0.5">
      <c r="A2" s="3"/>
    </row>
    <row r="3" spans="1:2" x14ac:dyDescent="0.35">
      <c r="A3" t="s">
        <v>32</v>
      </c>
      <c r="B3">
        <f>COUNTA([1]Sales_Data!B2:B16)</f>
        <v>15</v>
      </c>
    </row>
    <row r="4" spans="1:2" x14ac:dyDescent="0.35">
      <c r="A4" t="s">
        <v>33</v>
      </c>
      <c r="B4">
        <f>SUM(sales_data_raw!F2:F16)</f>
        <v>918000</v>
      </c>
    </row>
    <row r="5" spans="1:2" x14ac:dyDescent="0.35">
      <c r="A5" t="s">
        <v>34</v>
      </c>
      <c r="B5">
        <f>AVERAGE(sales_data_raw!F2:F16)</f>
        <v>65571.428571428565</v>
      </c>
    </row>
    <row r="6" spans="1:2" x14ac:dyDescent="0.35">
      <c r="A6" t="s">
        <v>35</v>
      </c>
      <c r="B6">
        <f>MAX(sales_data_raw!F2:F16)</f>
        <v>125000</v>
      </c>
    </row>
    <row r="7" spans="1:2" x14ac:dyDescent="0.35">
      <c r="A7" t="s">
        <v>36</v>
      </c>
      <c r="B7">
        <f>MIN(sales_data_raw!F2:F16)</f>
        <v>27000</v>
      </c>
    </row>
    <row r="8" spans="1:2" x14ac:dyDescent="0.35">
      <c r="A8" t="s">
        <v>37</v>
      </c>
      <c r="B8">
        <f>COUNTBLANK([1]Sales_Data!G2:G16)</f>
        <v>0</v>
      </c>
    </row>
    <row r="10" spans="1:2" ht="17" x14ac:dyDescent="0.5">
      <c r="A10" s="3" t="s">
        <v>41</v>
      </c>
    </row>
    <row r="11" spans="1:2" x14ac:dyDescent="0.35">
      <c r="A11" t="s">
        <v>42</v>
      </c>
    </row>
    <row r="12" spans="1:2" x14ac:dyDescent="0.35">
      <c r="A12" t="s">
        <v>43</v>
      </c>
    </row>
    <row r="13" spans="1:2" x14ac:dyDescent="0.35">
      <c r="A13" t="s">
        <v>47</v>
      </c>
    </row>
    <row r="14" spans="1:2" x14ac:dyDescent="0.35">
      <c r="A14" t="s">
        <v>44</v>
      </c>
    </row>
    <row r="15" spans="1:2" x14ac:dyDescent="0.35">
      <c r="A15" t="s">
        <v>45</v>
      </c>
    </row>
    <row r="16" spans="1:2" x14ac:dyDescent="0.35">
      <c r="A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sales_data_raw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Gitanshu Rajput</cp:lastModifiedBy>
  <dcterms:created xsi:type="dcterms:W3CDTF">2026-09-10T15:11:21Z</dcterms:created>
  <dcterms:modified xsi:type="dcterms:W3CDTF">2026-09-14T17:46:59Z</dcterms:modified>
</cp:coreProperties>
</file>